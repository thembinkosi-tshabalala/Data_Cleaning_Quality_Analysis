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1940c593e260a/Documents/Portfolio/03_Data_Cleaning_Quality_Project/"/>
    </mc:Choice>
  </mc:AlternateContent>
  <xr:revisionPtr revIDLastSave="304" documentId="8_{786B45F5-9A24-4DEE-98CA-5D696B88D528}" xr6:coauthVersionLast="47" xr6:coauthVersionMax="47" xr10:uidLastSave="{A41F51EC-B72E-49A8-9EE0-750C5E644F59}"/>
  <bookViews>
    <workbookView minimized="1" xWindow="15" yWindow="15" windowWidth="20250" windowHeight="10770" activeTab="2" xr2:uid="{2CF24274-F549-43B4-B059-63A3D714DE98}"/>
  </bookViews>
  <sheets>
    <sheet name="Raw Data" sheetId="1" r:id="rId1"/>
    <sheet name="Data Quality Checks" sheetId="2" r:id="rId2"/>
    <sheet name="Data Summary" sheetId="4" r:id="rId3"/>
  </sheets>
  <definedNames>
    <definedName name="_xlnm._FilterDatabase" localSheetId="0" hidden="1">'Raw Data'!$A$1:$I$31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" i="4" l="1" a="1"/>
  <c r="C35" i="4"/>
  <c r="C36" i="4" a="1"/>
  <c r="C36" i="4"/>
  <c r="C37" i="4" a="1"/>
  <c r="C37" i="4"/>
  <c r="C34" i="4" a="1"/>
  <c r="C34" i="4"/>
  <c r="B35" i="4"/>
  <c r="B36" i="4"/>
  <c r="B37" i="4"/>
  <c r="B34" i="4"/>
  <c r="A28" i="4"/>
  <c r="A27" i="4"/>
  <c r="A26" i="4"/>
  <c r="A25" i="4"/>
  <c r="C20" i="4" a="1"/>
  <c r="C20" i="4"/>
  <c r="C21" i="4" a="1"/>
  <c r="C21" i="4"/>
  <c r="C22" i="4" a="1"/>
  <c r="C22" i="4"/>
  <c r="C23" i="4" a="1"/>
  <c r="C23" i="4"/>
  <c r="C19" i="4" a="1"/>
  <c r="C19" i="4"/>
  <c r="B20" i="4"/>
  <c r="B21" i="4"/>
  <c r="B22" i="4"/>
  <c r="B23" i="4"/>
  <c r="B19" i="4"/>
  <c r="B13" i="4"/>
  <c r="B12" i="4"/>
  <c r="B8" i="4"/>
  <c r="B7" i="4"/>
  <c r="B6" i="4"/>
  <c r="B5" i="4"/>
  <c r="B4" i="4"/>
  <c r="B3" i="4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B11" i="2"/>
  <c r="B10" i="2"/>
  <c r="B6" i="2" a="1"/>
  <c r="B6" i="2"/>
  <c r="B13" i="2"/>
  <c r="B12" i="2"/>
  <c r="B9" i="2"/>
  <c r="B8" i="2"/>
  <c r="B7" i="2"/>
  <c r="B5" i="2"/>
  <c r="B15" i="2" s="1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<sst xmlns="http://schemas.openxmlformats.org/spreadsheetml/2006/main" count="199" uniqueCount="118">
  <si>
    <t>Customer_ID</t>
  </si>
  <si>
    <t xml:space="preserve">Customer_Name </t>
  </si>
  <si>
    <t>Region</t>
  </si>
  <si>
    <t>Product</t>
  </si>
  <si>
    <t>Order_Date</t>
  </si>
  <si>
    <t>Quantity</t>
  </si>
  <si>
    <t>Unit_Price</t>
  </si>
  <si>
    <t>Email</t>
  </si>
  <si>
    <t>C001</t>
  </si>
  <si>
    <t>Thabo Mokoena</t>
  </si>
  <si>
    <t>Gauteng</t>
  </si>
  <si>
    <t>Laptop</t>
  </si>
  <si>
    <t>thabo@email.com</t>
  </si>
  <si>
    <t>C002</t>
  </si>
  <si>
    <t>Lerato Dlamini</t>
  </si>
  <si>
    <t>Printer</t>
  </si>
  <si>
    <t>lerato@email.com</t>
  </si>
  <si>
    <t>C003</t>
  </si>
  <si>
    <t>John Smith</t>
  </si>
  <si>
    <t>Western Cape</t>
  </si>
  <si>
    <t>Monitor</t>
  </si>
  <si>
    <t>john@email.com</t>
  </si>
  <si>
    <t>C004</t>
  </si>
  <si>
    <t>Amanda Naidoo</t>
  </si>
  <si>
    <t>Kwazulu-Natal</t>
  </si>
  <si>
    <t>Keyboard</t>
  </si>
  <si>
    <t>amanda@email.com</t>
  </si>
  <si>
    <t>C005</t>
  </si>
  <si>
    <t>Peter Molefe</t>
  </si>
  <si>
    <t>Mouse</t>
  </si>
  <si>
    <t>peter@email.com</t>
  </si>
  <si>
    <t>C006</t>
  </si>
  <si>
    <t>Naledi Khumalo</t>
  </si>
  <si>
    <t>Limpopo</t>
  </si>
  <si>
    <t>naledi@email.com</t>
  </si>
  <si>
    <t>C007</t>
  </si>
  <si>
    <t>Bongani Ndlovu</t>
  </si>
  <si>
    <t>Mpumalanga</t>
  </si>
  <si>
    <t>bongani@email.com</t>
  </si>
  <si>
    <t>C008</t>
  </si>
  <si>
    <t>Sarah Jacobs</t>
  </si>
  <si>
    <t>sarah@email.com</t>
  </si>
  <si>
    <t>C009</t>
  </si>
  <si>
    <t>Musa Zulu</t>
  </si>
  <si>
    <t>musa@email.com</t>
  </si>
  <si>
    <t>C010</t>
  </si>
  <si>
    <t>Thandi Maseko</t>
  </si>
  <si>
    <t>thandi@email.com</t>
  </si>
  <si>
    <t>C011</t>
  </si>
  <si>
    <t>Kevin Botha</t>
  </si>
  <si>
    <t>kevin@email.com</t>
  </si>
  <si>
    <t>C012</t>
  </si>
  <si>
    <t>Precious Nkosi</t>
  </si>
  <si>
    <t>precious@email.com</t>
  </si>
  <si>
    <t>C013</t>
  </si>
  <si>
    <t>Sipho Dube</t>
  </si>
  <si>
    <t>sipho@email.com</t>
  </si>
  <si>
    <t>C014</t>
  </si>
  <si>
    <t>Nomsa Sithole</t>
  </si>
  <si>
    <t>nomsa@email.com</t>
  </si>
  <si>
    <t>C015</t>
  </si>
  <si>
    <t>Andile Mthembu</t>
  </si>
  <si>
    <t>andile@email.com</t>
  </si>
  <si>
    <t>C016</t>
  </si>
  <si>
    <t>Grace Williams</t>
  </si>
  <si>
    <t>grace@email.com</t>
  </si>
  <si>
    <t>C017</t>
  </si>
  <si>
    <t>Themba Nkosi</t>
  </si>
  <si>
    <t>themba@email.com</t>
  </si>
  <si>
    <t>C018</t>
  </si>
  <si>
    <t>Zanele Mokoena</t>
  </si>
  <si>
    <t>zanele@email.com</t>
  </si>
  <si>
    <t>C019</t>
  </si>
  <si>
    <t>David Naidoo</t>
  </si>
  <si>
    <t>david@email.com</t>
  </si>
  <si>
    <t>C020</t>
  </si>
  <si>
    <t>Refilwe Molefe</t>
  </si>
  <si>
    <t>refilwe@email.com</t>
  </si>
  <si>
    <t>C021</t>
  </si>
  <si>
    <t>C022</t>
  </si>
  <si>
    <t>gauteng</t>
  </si>
  <si>
    <t>C023</t>
  </si>
  <si>
    <t>monitor</t>
  </si>
  <si>
    <t>C024</t>
  </si>
  <si>
    <t>KZN</t>
  </si>
  <si>
    <t>C025</t>
  </si>
  <si>
    <t>C026</t>
  </si>
  <si>
    <t>C027</t>
  </si>
  <si>
    <t>C028</t>
  </si>
  <si>
    <t>C029</t>
  </si>
  <si>
    <t>C030</t>
  </si>
  <si>
    <t>Data Quality Checks</t>
  </si>
  <si>
    <t>Check</t>
  </si>
  <si>
    <t>Total Records</t>
  </si>
  <si>
    <t>Missing Customer IDs</t>
  </si>
  <si>
    <t>Missing Names</t>
  </si>
  <si>
    <t>Missing Regions</t>
  </si>
  <si>
    <t>Missing Products</t>
  </si>
  <si>
    <t>Missing Order Dates</t>
  </si>
  <si>
    <t>Result</t>
  </si>
  <si>
    <t>Duplicate Customer IDs</t>
  </si>
  <si>
    <t>Missing Quantities</t>
  </si>
  <si>
    <t>Missing Unit Prices</t>
  </si>
  <si>
    <t xml:space="preserve">Missing Emails </t>
  </si>
  <si>
    <t>Data Quality Status</t>
  </si>
  <si>
    <t>Overall Data Quality Status</t>
  </si>
  <si>
    <t>Inventory Data Summary</t>
  </si>
  <si>
    <t>Total Quantity</t>
  </si>
  <si>
    <t>Total Procurement Value</t>
  </si>
  <si>
    <t>Average Unit Price</t>
  </si>
  <si>
    <t>Missing Emails</t>
  </si>
  <si>
    <t>Data Quality Overview</t>
  </si>
  <si>
    <t>Complete Records</t>
  </si>
  <si>
    <t>Records Needing Review</t>
  </si>
  <si>
    <t>Product Analysis</t>
  </si>
  <si>
    <t>Total Value</t>
  </si>
  <si>
    <t>Region Analysis</t>
  </si>
  <si>
    <t>North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</si>
</sst>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1" applyNumberFormat="1" applyFont="1" applyBorder="1"/>
    <xf numFmtId="43" fontId="2" fillId="0" borderId="1" xfId="1" applyFont="1" applyBorder="1"/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2" fillId="0" borderId="1" xfId="0" applyNumberFormat="1" applyFont="1" applyBorder="1"/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Data</a:t>
            </a:r>
            <a:r>
              <a:rPr lang="en-ZA" baseline="0"/>
              <a:t> Quality Overview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Summary'!$A$12:$A$13</c:f>
              <c:strCache>
                <c:ptCount val="2"/>
                <c:pt idx="0">
                  <c:v>Complete Records</c:v>
                </c:pt>
                <c:pt idx="1">
                  <c:v>Records Needing Review</c:v>
                </c:pt>
              </c:strCache>
            </c:strRef>
          </c:cat>
          <c:val>
            <c:numRef>
              <c:f>'Data Summary'!$B$12:$B$13</c:f>
              <c:numCache>
                <c:formatCode>General</c:formatCode>
                <c:ptCount val="2"/>
                <c:pt idx="0">
                  <c:v>28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2-4D0E-97D9-688621765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3322735"/>
        <c:axId val="395576719"/>
      </c:barChart>
      <c:catAx>
        <c:axId val="27332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6719"/>
        <c:crosses val="autoZero"/>
        <c:auto val="1"/>
        <c:lblAlgn val="ctr"/>
        <c:lblOffset val="100"/>
        <c:noMultiLvlLbl val="0"/>
      </c:catAx>
      <c:valAx>
        <c:axId val="39557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322735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Product</a:t>
            </a:r>
            <a:r>
              <a:rPr lang="en-ZA" baseline="0"/>
              <a:t> Procurement Value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Summary'!$C$18</c:f>
              <c:strCache>
                <c:ptCount val="1"/>
                <c:pt idx="0">
                  <c:v>Total Value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'Data Summary'!$A$19:$A$23</c:f>
              <c:strCache>
                <c:ptCount val="5"/>
                <c:pt idx="0">
                  <c:v>Laptop</c:v>
                </c:pt>
                <c:pt idx="1">
                  <c:v>Printer</c:v>
                </c:pt>
                <c:pt idx="2">
                  <c:v>Monitor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'Data Summary'!$C$19:$C$23</c:f>
              <c:numCache>
                <c:formatCode>_(* #,##0.00_);_(* \(#,##0.00\);_(* "-"??_);_(@_)</c:formatCode>
                <c:ptCount val="5"/>
                <c:pt idx="0">
                  <c:v>125000</c:v>
                </c:pt>
                <c:pt idx="1">
                  <c:v>31950</c:v>
                </c:pt>
                <c:pt idx="2">
                  <c:v>51200</c:v>
                </c:pt>
                <c:pt idx="3">
                  <c:v>22100</c:v>
                </c:pt>
                <c:pt idx="4">
                  <c:v>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F-4488-976C-78245D2D5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698623"/>
        <c:axId val="1602305967"/>
      </c:barChart>
      <c:catAx>
        <c:axId val="159469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5967"/>
        <c:crosses val="autoZero"/>
        <c:auto val="1"/>
        <c:lblAlgn val="ctr"/>
        <c:lblOffset val="100"/>
        <c:noMultiLvlLbl val="0"/>
      </c:catAx>
      <c:valAx>
        <c:axId val="160230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698623"/>
        <c:crosses val="autoZero"/>
        <c:crossBetween val="between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Quantity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025371828521437E-2"/>
          <c:y val="0.19486111111111112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Summary'!$B$18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'Data Summary'!$A$19:$A$23</c:f>
              <c:strCache>
                <c:ptCount val="5"/>
                <c:pt idx="0">
                  <c:v>Laptop</c:v>
                </c:pt>
                <c:pt idx="1">
                  <c:v>Printer</c:v>
                </c:pt>
                <c:pt idx="2">
                  <c:v>Monitor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'Data Summary'!$B$19:$B$23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16</c:v>
                </c:pt>
                <c:pt idx="3">
                  <c:v>26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4-4C5A-8938-74C2AAF34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836431"/>
        <c:axId val="1602242607"/>
      </c:barChart>
      <c:catAx>
        <c:axId val="159483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42607"/>
        <c:crosses val="autoZero"/>
        <c:auto val="1"/>
        <c:lblAlgn val="ctr"/>
        <c:lblOffset val="100"/>
        <c:noMultiLvlLbl val="0"/>
      </c:catAx>
      <c:valAx>
        <c:axId val="16022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83643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Procurement</a:t>
            </a:r>
            <a:r>
              <a:rPr lang="en-ZA" baseline="0"/>
              <a:t> Value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Summary'!$B$33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Summary'!$A$34:$A$37</c:f>
              <c:strCache>
                <c:ptCount val="4"/>
                <c:pt idx="0">
                  <c:v>Gauteng</c:v>
                </c:pt>
                <c:pt idx="1">
                  <c:v>Mpumalanga</c:v>
                </c:pt>
                <c:pt idx="2">
                  <c:v>Limpopo</c:v>
                </c:pt>
                <c:pt idx="3">
                  <c:v>North West</c:v>
                </c:pt>
              </c:strCache>
            </c:strRef>
          </c:cat>
          <c:val>
            <c:numRef>
              <c:f>'Data Summary'!$B$34:$B$37</c:f>
              <c:numCache>
                <c:formatCode>General</c:formatCode>
                <c:ptCount val="4"/>
                <c:pt idx="0">
                  <c:v>45</c:v>
                </c:pt>
                <c:pt idx="1">
                  <c:v>11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8-4C2D-8A77-E422BF84E8F9}"/>
            </c:ext>
          </c:extLst>
        </c:ser>
        <c:ser>
          <c:idx val="1"/>
          <c:order val="1"/>
          <c:tx>
            <c:strRef>
              <c:f>'Data Summary'!$C$33</c:f>
              <c:strCache>
                <c:ptCount val="1"/>
                <c:pt idx="0">
                  <c:v>Total Value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'Data Summary'!$A$34:$A$37</c:f>
              <c:strCache>
                <c:ptCount val="4"/>
                <c:pt idx="0">
                  <c:v>Gauteng</c:v>
                </c:pt>
                <c:pt idx="1">
                  <c:v>Mpumalanga</c:v>
                </c:pt>
                <c:pt idx="2">
                  <c:v>Limpopo</c:v>
                </c:pt>
                <c:pt idx="3">
                  <c:v>North West</c:v>
                </c:pt>
              </c:strCache>
            </c:strRef>
          </c:cat>
          <c:val>
            <c:numRef>
              <c:f>'Data Summary'!$C$34:$C$37</c:f>
              <c:numCache>
                <c:formatCode>0.00</c:formatCode>
                <c:ptCount val="4"/>
                <c:pt idx="0">
                  <c:v>119850</c:v>
                </c:pt>
                <c:pt idx="1">
                  <c:v>21100</c:v>
                </c:pt>
                <c:pt idx="2">
                  <c:v>56850</c:v>
                </c:pt>
                <c:pt idx="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B8-4C2D-8A77-E422BF84E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948735"/>
        <c:axId val="1973796047"/>
      </c:barChart>
      <c:catAx>
        <c:axId val="13594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796047"/>
        <c:crosses val="autoZero"/>
        <c:auto val="1"/>
        <c:lblAlgn val="ctr"/>
        <c:lblOffset val="100"/>
        <c:noMultiLvlLbl val="0"/>
      </c:catAx>
      <c:valAx>
        <c:axId val="19737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48735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Regional</a:t>
            </a:r>
            <a:r>
              <a:rPr lang="en-ZA" baseline="0"/>
              <a:t> Quanitity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25371828521445E-2"/>
          <c:y val="0.19486111111111112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Summary'!$B$33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'Data Summary'!$A$34:$A$37</c:f>
              <c:strCache>
                <c:ptCount val="4"/>
                <c:pt idx="0">
                  <c:v>Gauteng</c:v>
                </c:pt>
                <c:pt idx="1">
                  <c:v>Mpumalanga</c:v>
                </c:pt>
                <c:pt idx="2">
                  <c:v>Limpopo</c:v>
                </c:pt>
                <c:pt idx="3">
                  <c:v>North West</c:v>
                </c:pt>
              </c:strCache>
            </c:strRef>
          </c:cat>
          <c:val>
            <c:numRef>
              <c:f>'Data Summary'!$B$34:$B$37</c:f>
              <c:numCache>
                <c:formatCode>General</c:formatCode>
                <c:ptCount val="4"/>
                <c:pt idx="0">
                  <c:v>45</c:v>
                </c:pt>
                <c:pt idx="1">
                  <c:v>11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8-4FC2-9DEB-429B30E7A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502479"/>
        <c:axId val="1973689487"/>
      </c:barChart>
      <c:catAx>
        <c:axId val="25250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689487"/>
        <c:crosses val="autoZero"/>
        <c:auto val="1"/>
        <c:lblAlgn val="ctr"/>
        <c:lblOffset val="100"/>
        <c:noMultiLvlLbl val="0"/>
      </c:catAx>
      <c:valAx>
        <c:axId val="197368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0247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1</xdr:row>
      <xdr:rowOff>9524</xdr:rowOff>
    </xdr:from>
    <xdr:to>
      <xdr:col>11</xdr:col>
      <xdr:colOff>114300</xdr:colOff>
      <xdr:row>12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0A0FE9-A8C8-B702-E588-463FBE535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590550</xdr:colOff>
      <xdr:row>14</xdr:row>
      <xdr:rowOff>176212</xdr:rowOff>
    </xdr:from>
    <xdr:to>
      <xdr:col>11</xdr:col>
      <xdr:colOff>285750</xdr:colOff>
      <xdr:row>29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56247C-9077-81A5-64FD-35835503A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</xdr:colOff>
      <xdr:row>30</xdr:row>
      <xdr:rowOff>23812</xdr:rowOff>
    </xdr:from>
    <xdr:to>
      <xdr:col>11</xdr:col>
      <xdr:colOff>323850</xdr:colOff>
      <xdr:row>44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DB5C59-CECD-CE6F-4E8D-5B941C0C3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104775</xdr:colOff>
      <xdr:row>45</xdr:row>
      <xdr:rowOff>138112</xdr:rowOff>
    </xdr:from>
    <xdr:to>
      <xdr:col>11</xdr:col>
      <xdr:colOff>409575</xdr:colOff>
      <xdr:row>60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D1253-0984-8DBF-2A63-B45D55173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61</xdr:row>
      <xdr:rowOff>14287</xdr:rowOff>
    </xdr:from>
    <xdr:to>
      <xdr:col>11</xdr:col>
      <xdr:colOff>304800</xdr:colOff>
      <xdr:row>75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E51A6A-8FD0-3C5B-5A4B-58D055B28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E390-64D3-4D23-B515-98E95A074C11}">
  <dimension ref="A1:I31"/>
  <sheetViews>
    <sheetView topLeftCell="A25" workbookViewId="0">
      <selection activeCell="K12" sqref="K12"/>
    </sheetView>
  </sheetViews>
  <sheetFormatPr defaultRowHeight="15" x14ac:dyDescent="0.25"/>
  <cols>
    <col min="1" max="1" width="12.140625" bestFit="1" customWidth="1"/>
    <col min="2" max="2" width="16.140625" bestFit="1" customWidth="1"/>
    <col min="5" max="5" width="10.85546875" bestFit="1" customWidth="1"/>
    <col min="7" max="7" width="9.85546875" bestFit="1" customWidth="1"/>
    <col min="8" max="8" width="20.140625" bestFit="1" customWidth="1"/>
    <col min="9" max="9" width="1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104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s="1">
        <v>46027</v>
      </c>
      <c r="F2">
        <v>2</v>
      </c>
      <c r="G2">
        <v>12500</v>
      </c>
      <c r="H2" t="s">
        <v>12</v>
      </c>
      <c r="I2" t="str">
        <f>IF(OR(F2="",H2=""),"Needs Review","Complete")</f>
        <v>Complete</v>
      </c>
    </row>
    <row r="3" spans="1:9" x14ac:dyDescent="0.25">
      <c r="A3" t="s">
        <v>13</v>
      </c>
      <c r="B3" t="s">
        <v>14</v>
      </c>
      <c r="C3" t="s">
        <v>10</v>
      </c>
      <c r="D3" t="s">
        <v>15</v>
      </c>
      <c r="E3" s="1">
        <v>46029</v>
      </c>
      <c r="F3">
        <v>1</v>
      </c>
      <c r="G3">
        <v>4500</v>
      </c>
      <c r="H3" t="s">
        <v>16</v>
      </c>
      <c r="I3" t="str">
        <f t="shared" ref="I3:I31" si="0">IF(OR(F3="",H3=""),"Needs Review","Complete")</f>
        <v>Complete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 s="1">
        <v>46030</v>
      </c>
      <c r="F4">
        <v>3</v>
      </c>
      <c r="G4">
        <v>3200</v>
      </c>
      <c r="H4" t="s">
        <v>21</v>
      </c>
      <c r="I4" t="str">
        <f t="shared" si="0"/>
        <v>Complete</v>
      </c>
    </row>
    <row r="5" spans="1:9" x14ac:dyDescent="0.25">
      <c r="A5" t="s">
        <v>22</v>
      </c>
      <c r="B5" t="s">
        <v>23</v>
      </c>
      <c r="C5" t="s">
        <v>24</v>
      </c>
      <c r="D5" t="s">
        <v>25</v>
      </c>
      <c r="E5" s="1">
        <v>46032</v>
      </c>
      <c r="F5">
        <v>5</v>
      </c>
      <c r="G5">
        <v>850</v>
      </c>
      <c r="H5" t="s">
        <v>26</v>
      </c>
      <c r="I5" t="str">
        <f t="shared" si="0"/>
        <v>Complete</v>
      </c>
    </row>
    <row r="6" spans="1:9" x14ac:dyDescent="0.25">
      <c r="A6" t="s">
        <v>27</v>
      </c>
      <c r="B6" t="s">
        <v>28</v>
      </c>
      <c r="C6" t="s">
        <v>10</v>
      </c>
      <c r="D6" t="s">
        <v>29</v>
      </c>
      <c r="E6" s="1">
        <v>46034</v>
      </c>
      <c r="F6">
        <v>10</v>
      </c>
      <c r="G6">
        <v>450</v>
      </c>
      <c r="H6" t="s">
        <v>30</v>
      </c>
      <c r="I6" t="str">
        <f t="shared" si="0"/>
        <v>Complete</v>
      </c>
    </row>
    <row r="7" spans="1:9" x14ac:dyDescent="0.25">
      <c r="A7" t="s">
        <v>31</v>
      </c>
      <c r="B7" t="s">
        <v>32</v>
      </c>
      <c r="C7" t="s">
        <v>33</v>
      </c>
      <c r="D7" t="s">
        <v>11</v>
      </c>
      <c r="E7" s="1">
        <v>46036</v>
      </c>
      <c r="F7">
        <v>2</v>
      </c>
      <c r="G7">
        <v>12500</v>
      </c>
      <c r="H7" t="s">
        <v>34</v>
      </c>
      <c r="I7" t="str">
        <f t="shared" si="0"/>
        <v>Complete</v>
      </c>
    </row>
    <row r="8" spans="1:9" x14ac:dyDescent="0.25">
      <c r="A8" t="s">
        <v>35</v>
      </c>
      <c r="B8" t="s">
        <v>36</v>
      </c>
      <c r="C8" t="s">
        <v>37</v>
      </c>
      <c r="D8" t="s">
        <v>20</v>
      </c>
      <c r="E8" s="1">
        <v>46037</v>
      </c>
      <c r="F8">
        <v>2</v>
      </c>
      <c r="G8">
        <v>3200</v>
      </c>
      <c r="H8" t="s">
        <v>38</v>
      </c>
      <c r="I8" t="str">
        <f t="shared" si="0"/>
        <v>Complete</v>
      </c>
    </row>
    <row r="9" spans="1:9" x14ac:dyDescent="0.25">
      <c r="A9" t="s">
        <v>39</v>
      </c>
      <c r="B9" t="s">
        <v>40</v>
      </c>
      <c r="C9" t="s">
        <v>10</v>
      </c>
      <c r="D9" t="s">
        <v>15</v>
      </c>
      <c r="E9" s="1">
        <v>46039</v>
      </c>
      <c r="F9">
        <v>1</v>
      </c>
      <c r="G9">
        <v>4500</v>
      </c>
      <c r="H9" t="s">
        <v>41</v>
      </c>
      <c r="I9" t="str">
        <f t="shared" si="0"/>
        <v>Complete</v>
      </c>
    </row>
    <row r="10" spans="1:9" x14ac:dyDescent="0.25">
      <c r="A10" t="s">
        <v>42</v>
      </c>
      <c r="B10" t="s">
        <v>43</v>
      </c>
      <c r="C10" t="s">
        <v>24</v>
      </c>
      <c r="D10" t="s">
        <v>25</v>
      </c>
      <c r="E10" s="1">
        <v>46041</v>
      </c>
      <c r="F10">
        <v>4</v>
      </c>
      <c r="G10">
        <v>850</v>
      </c>
      <c r="H10" t="s">
        <v>44</v>
      </c>
      <c r="I10" t="str">
        <f t="shared" si="0"/>
        <v>Complete</v>
      </c>
    </row>
    <row r="11" spans="1:9" x14ac:dyDescent="0.25">
      <c r="A11" t="s">
        <v>45</v>
      </c>
      <c r="B11" t="s">
        <v>46</v>
      </c>
      <c r="C11" t="s">
        <v>19</v>
      </c>
      <c r="D11" t="s">
        <v>29</v>
      </c>
      <c r="E11" s="1">
        <v>46043</v>
      </c>
      <c r="F11">
        <v>8</v>
      </c>
      <c r="G11">
        <v>450</v>
      </c>
      <c r="H11" t="s">
        <v>47</v>
      </c>
      <c r="I11" t="str">
        <f t="shared" si="0"/>
        <v>Complete</v>
      </c>
    </row>
    <row r="12" spans="1:9" x14ac:dyDescent="0.25">
      <c r="A12" t="s">
        <v>48</v>
      </c>
      <c r="B12" t="s">
        <v>49</v>
      </c>
      <c r="C12" t="s">
        <v>10</v>
      </c>
      <c r="D12" t="s">
        <v>11</v>
      </c>
      <c r="E12" s="1">
        <v>46044</v>
      </c>
      <c r="F12">
        <v>1</v>
      </c>
      <c r="G12">
        <v>12500</v>
      </c>
      <c r="H12" t="s">
        <v>50</v>
      </c>
      <c r="I12" t="str">
        <f t="shared" si="0"/>
        <v>Complete</v>
      </c>
    </row>
    <row r="13" spans="1:9" x14ac:dyDescent="0.25">
      <c r="A13" t="s">
        <v>51</v>
      </c>
      <c r="B13" t="s">
        <v>52</v>
      </c>
      <c r="C13" t="s">
        <v>33</v>
      </c>
      <c r="D13" t="s">
        <v>20</v>
      </c>
      <c r="E13" s="1">
        <v>46046</v>
      </c>
      <c r="F13">
        <v>2</v>
      </c>
      <c r="G13">
        <v>3200</v>
      </c>
      <c r="H13" t="s">
        <v>53</v>
      </c>
      <c r="I13" t="str">
        <f t="shared" si="0"/>
        <v>Complete</v>
      </c>
    </row>
    <row r="14" spans="1:9" x14ac:dyDescent="0.25">
      <c r="A14" t="s">
        <v>54</v>
      </c>
      <c r="B14" t="s">
        <v>55</v>
      </c>
      <c r="C14" t="s">
        <v>10</v>
      </c>
      <c r="D14" t="s">
        <v>15</v>
      </c>
      <c r="E14" s="1">
        <v>46048</v>
      </c>
      <c r="F14">
        <v>2</v>
      </c>
      <c r="G14">
        <v>4500</v>
      </c>
      <c r="H14" t="s">
        <v>56</v>
      </c>
      <c r="I14" t="str">
        <f t="shared" si="0"/>
        <v>Complete</v>
      </c>
    </row>
    <row r="15" spans="1:9" x14ac:dyDescent="0.25">
      <c r="A15" t="s">
        <v>57</v>
      </c>
      <c r="B15" t="s">
        <v>58</v>
      </c>
      <c r="C15" t="s">
        <v>37</v>
      </c>
      <c r="D15" t="s">
        <v>25</v>
      </c>
      <c r="E15" s="1">
        <v>46050</v>
      </c>
      <c r="F15">
        <v>6</v>
      </c>
      <c r="G15">
        <v>850</v>
      </c>
      <c r="H15" t="s">
        <v>59</v>
      </c>
      <c r="I15" t="str">
        <f t="shared" si="0"/>
        <v>Complete</v>
      </c>
    </row>
    <row r="16" spans="1:9" x14ac:dyDescent="0.25">
      <c r="A16" t="s">
        <v>60</v>
      </c>
      <c r="B16" t="s">
        <v>61</v>
      </c>
      <c r="C16" t="s">
        <v>10</v>
      </c>
      <c r="D16" t="s">
        <v>29</v>
      </c>
      <c r="E16" s="1">
        <v>46052</v>
      </c>
      <c r="F16">
        <v>12</v>
      </c>
      <c r="G16">
        <v>450</v>
      </c>
      <c r="H16" t="s">
        <v>62</v>
      </c>
      <c r="I16" t="str">
        <f t="shared" si="0"/>
        <v>Complete</v>
      </c>
    </row>
    <row r="17" spans="1:9" x14ac:dyDescent="0.25">
      <c r="A17" t="s">
        <v>63</v>
      </c>
      <c r="B17" t="s">
        <v>64</v>
      </c>
      <c r="C17" t="s">
        <v>19</v>
      </c>
      <c r="D17" t="s">
        <v>11</v>
      </c>
      <c r="E17" s="1">
        <v>46055</v>
      </c>
      <c r="F17">
        <v>1</v>
      </c>
      <c r="G17">
        <v>12500</v>
      </c>
      <c r="H17" t="s">
        <v>65</v>
      </c>
      <c r="I17" t="str">
        <f t="shared" si="0"/>
        <v>Complete</v>
      </c>
    </row>
    <row r="18" spans="1:9" x14ac:dyDescent="0.25">
      <c r="A18" t="s">
        <v>66</v>
      </c>
      <c r="B18" t="s">
        <v>67</v>
      </c>
      <c r="C18" t="s">
        <v>10</v>
      </c>
      <c r="D18" t="s">
        <v>20</v>
      </c>
      <c r="E18" s="1">
        <v>46057</v>
      </c>
      <c r="F18">
        <v>4</v>
      </c>
      <c r="G18">
        <v>3200</v>
      </c>
      <c r="H18" t="s">
        <v>68</v>
      </c>
      <c r="I18" t="str">
        <f t="shared" si="0"/>
        <v>Complete</v>
      </c>
    </row>
    <row r="19" spans="1:9" x14ac:dyDescent="0.25">
      <c r="A19" t="s">
        <v>69</v>
      </c>
      <c r="B19" t="s">
        <v>70</v>
      </c>
      <c r="C19" t="s">
        <v>33</v>
      </c>
      <c r="D19" t="s">
        <v>15</v>
      </c>
      <c r="E19" s="1">
        <v>46059</v>
      </c>
      <c r="F19">
        <v>1</v>
      </c>
      <c r="G19">
        <v>450</v>
      </c>
      <c r="H19" t="s">
        <v>71</v>
      </c>
      <c r="I19" t="str">
        <f t="shared" si="0"/>
        <v>Complete</v>
      </c>
    </row>
    <row r="20" spans="1:9" x14ac:dyDescent="0.25">
      <c r="A20" t="s">
        <v>72</v>
      </c>
      <c r="B20" t="s">
        <v>73</v>
      </c>
      <c r="C20" t="s">
        <v>24</v>
      </c>
      <c r="D20" t="s">
        <v>25</v>
      </c>
      <c r="E20" s="1">
        <v>46061</v>
      </c>
      <c r="F20">
        <v>3</v>
      </c>
      <c r="G20">
        <v>850</v>
      </c>
      <c r="H20" t="s">
        <v>74</v>
      </c>
      <c r="I20" t="str">
        <f t="shared" si="0"/>
        <v>Complete</v>
      </c>
    </row>
    <row r="21" spans="1:9" x14ac:dyDescent="0.25">
      <c r="A21" t="s">
        <v>75</v>
      </c>
      <c r="B21" t="s">
        <v>76</v>
      </c>
      <c r="C21" t="s">
        <v>10</v>
      </c>
      <c r="D21" t="s">
        <v>29</v>
      </c>
      <c r="E21" s="1">
        <v>46063</v>
      </c>
      <c r="F21">
        <v>7</v>
      </c>
      <c r="G21">
        <v>450</v>
      </c>
      <c r="H21" t="s">
        <v>77</v>
      </c>
      <c r="I21" t="str">
        <f t="shared" si="0"/>
        <v>Complete</v>
      </c>
    </row>
    <row r="22" spans="1:9" x14ac:dyDescent="0.25">
      <c r="A22" t="s">
        <v>78</v>
      </c>
      <c r="B22" t="s">
        <v>9</v>
      </c>
      <c r="C22" t="s">
        <v>10</v>
      </c>
      <c r="D22" t="s">
        <v>11</v>
      </c>
      <c r="E22" s="1">
        <v>46027</v>
      </c>
      <c r="F22">
        <v>2</v>
      </c>
      <c r="G22">
        <v>12500</v>
      </c>
      <c r="H22" t="s">
        <v>12</v>
      </c>
      <c r="I22" t="str">
        <f t="shared" si="0"/>
        <v>Complete</v>
      </c>
    </row>
    <row r="23" spans="1:9" x14ac:dyDescent="0.25">
      <c r="A23" t="s">
        <v>79</v>
      </c>
      <c r="B23" t="s">
        <v>14</v>
      </c>
      <c r="C23" t="s">
        <v>80</v>
      </c>
      <c r="D23" t="s">
        <v>15</v>
      </c>
      <c r="E23" s="1">
        <v>46065</v>
      </c>
      <c r="F23">
        <v>2</v>
      </c>
      <c r="G23">
        <v>4500</v>
      </c>
      <c r="H23" t="s">
        <v>16</v>
      </c>
      <c r="I23" t="str">
        <f t="shared" si="0"/>
        <v>Complete</v>
      </c>
    </row>
    <row r="24" spans="1:9" x14ac:dyDescent="0.25">
      <c r="A24" t="s">
        <v>81</v>
      </c>
      <c r="B24" t="s">
        <v>18</v>
      </c>
      <c r="C24" t="s">
        <v>19</v>
      </c>
      <c r="D24" t="s">
        <v>82</v>
      </c>
      <c r="E24" s="1">
        <v>46067</v>
      </c>
      <c r="F24">
        <v>2</v>
      </c>
      <c r="G24">
        <v>3200</v>
      </c>
      <c r="I24" t="str">
        <f t="shared" si="0"/>
        <v>Needs Review</v>
      </c>
    </row>
    <row r="25" spans="1:9" x14ac:dyDescent="0.25">
      <c r="A25" t="s">
        <v>83</v>
      </c>
      <c r="B25" t="s">
        <v>23</v>
      </c>
      <c r="C25" t="s">
        <v>84</v>
      </c>
      <c r="D25" t="s">
        <v>25</v>
      </c>
      <c r="E25" s="1">
        <v>46069</v>
      </c>
      <c r="F25">
        <v>4</v>
      </c>
      <c r="G25">
        <v>850</v>
      </c>
      <c r="H25" t="s">
        <v>26</v>
      </c>
      <c r="I25" t="str">
        <f t="shared" si="0"/>
        <v>Complete</v>
      </c>
    </row>
    <row r="26" spans="1:9" x14ac:dyDescent="0.25">
      <c r="A26" t="s">
        <v>85</v>
      </c>
      <c r="B26" t="s">
        <v>28</v>
      </c>
      <c r="C26" t="s">
        <v>10</v>
      </c>
      <c r="D26" t="s">
        <v>29</v>
      </c>
      <c r="E26" s="1">
        <v>46071</v>
      </c>
      <c r="G26">
        <v>450</v>
      </c>
      <c r="H26" t="s">
        <v>30</v>
      </c>
      <c r="I26" t="str">
        <f t="shared" si="0"/>
        <v>Needs Review</v>
      </c>
    </row>
    <row r="27" spans="1:9" x14ac:dyDescent="0.25">
      <c r="A27" t="s">
        <v>86</v>
      </c>
      <c r="B27" t="s">
        <v>32</v>
      </c>
      <c r="C27" t="s">
        <v>33</v>
      </c>
      <c r="D27" t="s">
        <v>11</v>
      </c>
      <c r="E27" s="1">
        <v>46073</v>
      </c>
      <c r="F27">
        <v>2</v>
      </c>
      <c r="G27">
        <v>12500</v>
      </c>
      <c r="H27" t="s">
        <v>34</v>
      </c>
      <c r="I27" t="str">
        <f t="shared" si="0"/>
        <v>Complete</v>
      </c>
    </row>
    <row r="28" spans="1:9" x14ac:dyDescent="0.25">
      <c r="A28" t="s">
        <v>87</v>
      </c>
      <c r="B28" t="s">
        <v>36</v>
      </c>
      <c r="C28" t="s">
        <v>37</v>
      </c>
      <c r="D28" t="s">
        <v>20</v>
      </c>
      <c r="E28" s="1">
        <v>46075</v>
      </c>
      <c r="F28">
        <v>3</v>
      </c>
      <c r="G28">
        <v>3200</v>
      </c>
      <c r="H28" t="s">
        <v>38</v>
      </c>
      <c r="I28" t="str">
        <f t="shared" si="0"/>
        <v>Complete</v>
      </c>
    </row>
    <row r="29" spans="1:9" x14ac:dyDescent="0.25">
      <c r="A29" t="s">
        <v>88</v>
      </c>
      <c r="B29" t="s">
        <v>40</v>
      </c>
      <c r="C29" t="s">
        <v>10</v>
      </c>
      <c r="D29" t="s">
        <v>15</v>
      </c>
      <c r="E29" s="1">
        <v>46077</v>
      </c>
      <c r="F29">
        <v>1</v>
      </c>
      <c r="G29">
        <v>4500</v>
      </c>
      <c r="H29" t="s">
        <v>41</v>
      </c>
      <c r="I29" t="str">
        <f t="shared" si="0"/>
        <v>Complete</v>
      </c>
    </row>
    <row r="30" spans="1:9" x14ac:dyDescent="0.25">
      <c r="A30" t="s">
        <v>89</v>
      </c>
      <c r="B30" t="s">
        <v>43</v>
      </c>
      <c r="C30" t="s">
        <v>24</v>
      </c>
      <c r="D30" t="s">
        <v>25</v>
      </c>
      <c r="E30" s="1">
        <v>46079</v>
      </c>
      <c r="F30">
        <v>4</v>
      </c>
      <c r="G30">
        <v>850</v>
      </c>
      <c r="H30" t="s">
        <v>44</v>
      </c>
      <c r="I30" t="str">
        <f t="shared" si="0"/>
        <v>Complete</v>
      </c>
    </row>
    <row r="31" spans="1:9" x14ac:dyDescent="0.25">
      <c r="A31" t="s">
        <v>90</v>
      </c>
      <c r="B31" t="s">
        <v>46</v>
      </c>
      <c r="C31" t="s">
        <v>19</v>
      </c>
      <c r="D31" t="s">
        <v>29</v>
      </c>
      <c r="E31" s="1">
        <v>46081</v>
      </c>
      <c r="F31">
        <v>9</v>
      </c>
      <c r="G31">
        <v>450</v>
      </c>
      <c r="H31" t="s">
        <v>47</v>
      </c>
      <c r="I31" t="str">
        <f t="shared" si="0"/>
        <v>Complete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A352-102C-497A-8A27-25108180290D}">
  <dimension ref="A1:B15"/>
  <sheetViews>
    <sheetView workbookViewId="0">
      <selection activeCell="C15" sqref="C15"/>
    </sheetView>
  </sheetViews>
  <sheetFormatPr defaultRowHeight="15" x14ac:dyDescent="0.25"/>
  <cols>
    <col min="1" max="1" width="24.85546875" bestFit="1" customWidth="1"/>
    <col min="2" max="2" width="14" bestFit="1" customWidth="1"/>
  </cols>
  <sheetData>
    <row r="1" spans="1:2" ht="21" x14ac:dyDescent="0.25">
      <c r="A1" s="12" t="s">
        <v>91</v>
      </c>
      <c r="B1" s="12"/>
    </row>
    <row r="3" spans="1:2" x14ac:dyDescent="0.25">
      <c r="A3" s="3" t="s">
        <v>92</v>
      </c>
      <c r="B3" s="3" t="s">
        <v>99</v>
      </c>
    </row>
    <row r="4" spans="1:2" x14ac:dyDescent="0.25">
      <c r="A4" s="3" t="s">
        <v>93</v>
      </c>
      <c r="B4" s="3">
        <f>COUNTA('Raw Data'!A2:A1000)</f>
        <v>30</v>
      </c>
    </row>
    <row r="5" spans="1:2" x14ac:dyDescent="0.25">
      <c r="A5" s="3" t="s">
        <v>94</v>
      </c>
      <c r="B5" s="3">
        <f>COUNTIF('Raw Data'!A2:A31,"")</f>
        <v>0</v>
      </c>
    </row>
    <row r="6" spans="1:2" x14ac:dyDescent="0.25">
      <c r="A6" s="3" t="s">
        <v>100</v>
      </c>
      <c r="B6" s="3" cm="1">
        <f t="array" ref="B6">SUMPRODUCT((COUNTIF('Raw Data'!A2:A31,'Raw Data'!A2:A31)&gt;1)*1)</f>
        <v>0</v>
      </c>
    </row>
    <row r="7" spans="1:2" x14ac:dyDescent="0.25">
      <c r="A7" s="3" t="s">
        <v>95</v>
      </c>
      <c r="B7" s="3">
        <f>COUNTIF('Raw Data'!C2:C31,"")</f>
        <v>0</v>
      </c>
    </row>
    <row r="8" spans="1:2" x14ac:dyDescent="0.25">
      <c r="A8" s="3" t="s">
        <v>96</v>
      </c>
      <c r="B8" s="3">
        <f>COUNTIF('Raw Data'!D1:D31,"")</f>
        <v>0</v>
      </c>
    </row>
    <row r="9" spans="1:2" x14ac:dyDescent="0.25">
      <c r="A9" s="3" t="s">
        <v>97</v>
      </c>
      <c r="B9" s="3">
        <f>COUNTIF('Raw Data'!E2:E31,"")</f>
        <v>0</v>
      </c>
    </row>
    <row r="10" spans="1:2" x14ac:dyDescent="0.25">
      <c r="A10" s="3" t="s">
        <v>98</v>
      </c>
      <c r="B10" s="3">
        <f>COUNTIF('Raw Data'!E2:E31,"")</f>
        <v>0</v>
      </c>
    </row>
    <row r="11" spans="1:2" x14ac:dyDescent="0.25">
      <c r="A11" s="3" t="s">
        <v>101</v>
      </c>
      <c r="B11" s="3">
        <f>COUNTIF('Raw Data'!F2:F31,"")</f>
        <v>1</v>
      </c>
    </row>
    <row r="12" spans="1:2" x14ac:dyDescent="0.25">
      <c r="A12" s="3" t="s">
        <v>102</v>
      </c>
      <c r="B12" s="3">
        <f>COUNTIF('Raw Data'!G2:G31,"")</f>
        <v>0</v>
      </c>
    </row>
    <row r="13" spans="1:2" x14ac:dyDescent="0.25">
      <c r="A13" s="3" t="s">
        <v>103</v>
      </c>
      <c r="B13" s="3">
        <f>COUNTIF('Raw Data'!H2:H31,"")</f>
        <v>1</v>
      </c>
    </row>
    <row r="14" spans="1:2" x14ac:dyDescent="0.25">
      <c r="A14" s="2"/>
      <c r="B14" s="2"/>
    </row>
    <row r="15" spans="1:2" x14ac:dyDescent="0.25">
      <c r="A15" s="3" t="s">
        <v>105</v>
      </c>
      <c r="B15" s="3" t="str">
        <f>IF(SUM(B5:B6,B7:B13)=0,"All Checks Passed","Needs Review")</f>
        <v>Needs Review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5819-100B-41CB-9077-A19B8C77B5C0}">
  <dimension ref="A1:C37"/>
  <sheetViews>
    <sheetView tabSelected="1" topLeftCell="A69" workbookViewId="0">
      <selection activeCell="N11" sqref="N11"/>
    </sheetView>
  </sheetViews>
  <sheetFormatPr defaultRowHeight="15" x14ac:dyDescent="0.25"/>
  <cols>
    <col min="1" max="1" width="28.7109375" bestFit="1" customWidth="1"/>
    <col min="2" max="2" width="13.7109375" bestFit="1" customWidth="1"/>
    <col min="3" max="3" width="11.42578125" bestFit="1" customWidth="1"/>
  </cols>
  <sheetData>
    <row r="1" spans="1:3" ht="18.75" x14ac:dyDescent="0.3">
      <c r="A1" s="8" t="s">
        <v>106</v>
      </c>
      <c r="B1" s="8"/>
    </row>
    <row r="3" spans="1:3" x14ac:dyDescent="0.25">
      <c r="A3" s="4" t="s">
        <v>93</v>
      </c>
      <c r="B3" s="4">
        <f>COUNTA('Raw Data'!A2:A31)</f>
        <v>30</v>
      </c>
    </row>
    <row r="4" spans="1:3" x14ac:dyDescent="0.25">
      <c r="A4" s="4" t="s">
        <v>107</v>
      </c>
      <c r="B4" s="4">
        <f>SUM('Raw Data'!F2:F31)</f>
        <v>106</v>
      </c>
    </row>
    <row r="5" spans="1:3" x14ac:dyDescent="0.25">
      <c r="A5" s="4" t="s">
        <v>108</v>
      </c>
      <c r="B5" s="6">
        <f>SUMPRODUCT('Raw Data'!F2:F31,'Raw Data'!G2:G31)</f>
        <v>250950</v>
      </c>
    </row>
    <row r="6" spans="1:3" x14ac:dyDescent="0.25">
      <c r="A6" s="4" t="s">
        <v>109</v>
      </c>
      <c r="B6" s="5">
        <f>AVERAGE('Raw Data'!G2:G31)</f>
        <v>4165</v>
      </c>
    </row>
    <row r="7" spans="1:3" x14ac:dyDescent="0.25">
      <c r="A7" s="4" t="s">
        <v>101</v>
      </c>
      <c r="B7" s="4">
        <f>COUNTIF('Raw Data'!F2:F31,"")</f>
        <v>1</v>
      </c>
    </row>
    <row r="8" spans="1:3" x14ac:dyDescent="0.25">
      <c r="A8" s="4" t="s">
        <v>110</v>
      </c>
      <c r="B8" s="4">
        <f>COUNTIF('Raw Data'!H2:H31,"")</f>
        <v>1</v>
      </c>
    </row>
    <row r="10" spans="1:3" x14ac:dyDescent="0.25">
      <c r="A10" s="9" t="s">
        <v>111</v>
      </c>
      <c r="B10" s="10"/>
    </row>
    <row r="11" spans="1:3" x14ac:dyDescent="0.25">
      <c r="A11" s="4"/>
      <c r="B11" s="4"/>
    </row>
    <row r="12" spans="1:3" x14ac:dyDescent="0.25">
      <c r="A12" s="3" t="s">
        <v>112</v>
      </c>
      <c r="B12" s="3">
        <f>COUNTIF('Raw Data'!I2:I31,"Complete")</f>
        <v>28</v>
      </c>
    </row>
    <row r="13" spans="1:3" x14ac:dyDescent="0.25">
      <c r="A13" s="3" t="s">
        <v>113</v>
      </c>
      <c r="B13" s="3">
        <f>COUNTIF('Raw Data'!I2:I31,"Needs Review")</f>
        <v>2</v>
      </c>
    </row>
    <row r="16" spans="1:3" x14ac:dyDescent="0.25">
      <c r="A16" s="9" t="s">
        <v>114</v>
      </c>
      <c r="B16" s="11"/>
      <c r="C16" s="10"/>
    </row>
    <row r="17" spans="1:3" x14ac:dyDescent="0.25">
      <c r="A17" s="4"/>
      <c r="B17" s="4"/>
      <c r="C17" s="4"/>
    </row>
    <row r="18" spans="1:3" x14ac:dyDescent="0.25">
      <c r="A18" s="3" t="s">
        <v>3</v>
      </c>
      <c r="B18" s="3" t="s">
        <v>107</v>
      </c>
      <c r="C18" s="3" t="s">
        <v>115</v>
      </c>
    </row>
    <row r="19" spans="1:3" x14ac:dyDescent="0.25">
      <c r="A19" s="3" t="s">
        <v>11</v>
      </c>
      <c r="B19" s="3">
        <f>SUMIF('Raw Data'!D2:D31,A19,'Raw Data'!F2:F31)</f>
        <v>10</v>
      </c>
      <c r="C19" s="7" cm="1">
        <f t="array" ref="C19">SUMPRODUCT(('Raw Data'!D2:D31=A19)*('Raw Data'!F2:F31)*('Raw Data'!G2:G31))</f>
        <v>125000</v>
      </c>
    </row>
    <row r="20" spans="1:3" x14ac:dyDescent="0.25">
      <c r="A20" s="3" t="s">
        <v>15</v>
      </c>
      <c r="B20" s="3">
        <f>SUMIF('Raw Data'!D3:D32,A20,'Raw Data'!F3:F32)</f>
        <v>8</v>
      </c>
      <c r="C20" s="7" cm="1">
        <f t="array" ref="C20">SUMPRODUCT(('Raw Data'!D3:D32=A20)*('Raw Data'!F3:F32)*('Raw Data'!G3:G32))</f>
        <v>31950</v>
      </c>
    </row>
    <row r="21" spans="1:3" x14ac:dyDescent="0.25">
      <c r="A21" s="3" t="s">
        <v>20</v>
      </c>
      <c r="B21" s="3">
        <f>SUMIF('Raw Data'!D4:D33,A21,'Raw Data'!F4:F33)</f>
        <v>16</v>
      </c>
      <c r="C21" s="7" cm="1">
        <f t="array" ref="C21">SUMPRODUCT(('Raw Data'!D4:D33=A21)*('Raw Data'!F4:F33)*('Raw Data'!G4:G33))</f>
        <v>51200</v>
      </c>
    </row>
    <row r="22" spans="1:3" x14ac:dyDescent="0.25">
      <c r="A22" s="3" t="s">
        <v>25</v>
      </c>
      <c r="B22" s="3">
        <f>SUMIF('Raw Data'!D5:D34,A22,'Raw Data'!F5:F34)</f>
        <v>26</v>
      </c>
      <c r="C22" s="7" cm="1">
        <f t="array" ref="C22">SUMPRODUCT(('Raw Data'!D5:D34=A22)*('Raw Data'!F5:F34)*('Raw Data'!G5:G34))</f>
        <v>22100</v>
      </c>
    </row>
    <row r="23" spans="1:3" x14ac:dyDescent="0.25">
      <c r="A23" s="3" t="s">
        <v>29</v>
      </c>
      <c r="B23" s="3">
        <f>SUMIF('Raw Data'!D6:D35,A23,'Raw Data'!F6:F35)</f>
        <v>46</v>
      </c>
      <c r="C23" s="7" cm="1">
        <f t="array" ref="C23">SUMPRODUCT(('Raw Data'!D6:D35=A23)*('Raw Data'!F6:F35)*('Raw Data'!G6:G35))</f>
        <v>20700</v>
      </c>
    </row>
    <row r="25" spans="1:3" x14ac:dyDescent="0.25">
      <c r="A25" s="14">
        <f>B5</f>
        <v>250950</v>
      </c>
    </row>
    <row r="26" spans="1:3" x14ac:dyDescent="0.25">
      <c r="A26" s="15">
        <f>B4</f>
        <v>106</v>
      </c>
    </row>
    <row r="27" spans="1:3" x14ac:dyDescent="0.25">
      <c r="A27" s="16">
        <f>B6</f>
        <v>4165</v>
      </c>
    </row>
    <row r="28" spans="1:3" x14ac:dyDescent="0.25">
      <c r="A28" s="15">
        <f>B13</f>
        <v>2</v>
      </c>
    </row>
    <row r="31" spans="1:3" x14ac:dyDescent="0.25">
      <c r="A31" t="s">
        <v>116</v>
      </c>
    </row>
    <row r="33" spans="1:3" x14ac:dyDescent="0.25">
      <c r="A33" s="3" t="s">
        <v>2</v>
      </c>
      <c r="B33" s="3" t="s">
        <v>107</v>
      </c>
      <c r="C33" s="3" t="s">
        <v>115</v>
      </c>
    </row>
    <row r="34" spans="1:3" x14ac:dyDescent="0.25">
      <c r="A34" s="3" t="s">
        <v>10</v>
      </c>
      <c r="B34" s="3">
        <f>SUMIF('Raw Data'!C2:C31,A34,'Raw Data'!F2:F31)</f>
        <v>45</v>
      </c>
      <c r="C34" s="13" cm="1">
        <f t="array" ref="C34">SUMPRODUCT(('Raw Data'!C2:C31=A34)*('Raw Data'!F2:F31)*('Raw Data'!G2:G31))</f>
        <v>119850</v>
      </c>
    </row>
    <row r="35" spans="1:3" x14ac:dyDescent="0.25">
      <c r="A35" s="3" t="s">
        <v>37</v>
      </c>
      <c r="B35" s="3">
        <f>SUMIF('Raw Data'!C3:C32,A35,'Raw Data'!F3:F32)</f>
        <v>11</v>
      </c>
      <c r="C35" s="13" cm="1">
        <f t="array" ref="C35">SUMPRODUCT(('Raw Data'!C3:C32=A35)*('Raw Data'!F3:F32)*('Raw Data'!G3:G32))</f>
        <v>21100</v>
      </c>
    </row>
    <row r="36" spans="1:3" x14ac:dyDescent="0.25">
      <c r="A36" s="3" t="s">
        <v>33</v>
      </c>
      <c r="B36" s="3">
        <f>SUMIF('Raw Data'!C4:C33,A36,'Raw Data'!F4:F33)</f>
        <v>7</v>
      </c>
      <c r="C36" s="13" cm="1">
        <f t="array" ref="C36">SUMPRODUCT(('Raw Data'!C4:C33=A36)*('Raw Data'!F4:F33)*('Raw Data'!G4:G33))</f>
        <v>56850</v>
      </c>
    </row>
    <row r="37" spans="1:3" x14ac:dyDescent="0.25">
      <c r="A37" s="3" t="s">
        <v>117</v>
      </c>
      <c r="B37" s="3">
        <f>SUMIF('Raw Data'!C5:C34,A37,'Raw Data'!F5:F34)</f>
        <v>0</v>
      </c>
      <c r="C37" s="17" cm="1">
        <f t="array" ref="C37">SUMPRODUCT(('Raw Data'!C5:C34=A37)*('Raw Data'!F5:F34)*('Raw Data'!G5:G34))</f>
        <v>0</v>
      </c>
    </row>
  </sheetData>
  <mergeCells count="3">
    <mergeCell ref="A1:B1"/>
    <mergeCell ref="A10:B10"/>
    <mergeCell ref="A16:C16"/>
  </mergeCells>
  <pageMargins left="0.7" right="0.7" top="0.75" bottom="0.75" header="0.3" footer="0.3"/>
  <ignoredErrors>
    <ignoredError sqref="C20:C23 C35:C37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Quality Checks</vt:lpstr>
      <vt:lpstr>Data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Thembinkosi Tshabalala</dc:creator>
  <cp:lastModifiedBy>Thembinkosi Tshabalala</cp:lastModifiedBy>
  <dcterms:created xsi:type="dcterms:W3CDTF">2026-09-25T11:14:21Z</dcterms:created>
  <dcterms:modified xsi:type="dcterms:W3CDTF">2026-09-28T20:32:01Z</dcterms:modified>
</cp:coreProperties>
</file>